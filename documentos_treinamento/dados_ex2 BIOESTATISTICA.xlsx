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e35ab0b4a30316f/Documents/"/>
    </mc:Choice>
  </mc:AlternateContent>
  <xr:revisionPtr revIDLastSave="1" documentId="8_{6FF90231-63E7-48E5-9ECD-6FDBB3FDABC0}" xr6:coauthVersionLast="47" xr6:coauthVersionMax="47" xr10:uidLastSave="{50F7BFF7-8709-475D-B2B5-5C8BE55A0F73}"/>
  <bookViews>
    <workbookView xWindow="-108" yWindow="-108" windowWidth="23256" windowHeight="12456" xr2:uid="{5DB0C812-4992-4709-BDD0-C1DC79ACBCE9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1" l="1"/>
  <c r="O9" i="1"/>
  <c r="O8" i="1"/>
  <c r="O7" i="1"/>
  <c r="O6" i="1"/>
  <c r="O5" i="1"/>
  <c r="N10" i="1"/>
  <c r="N9" i="1"/>
  <c r="N8" i="1"/>
  <c r="N7" i="1"/>
  <c r="N6" i="1"/>
  <c r="N5" i="1"/>
  <c r="M10" i="1"/>
  <c r="M9" i="1"/>
  <c r="M8" i="1"/>
  <c r="M7" i="1"/>
  <c r="M6" i="1"/>
  <c r="M5" i="1"/>
  <c r="L11" i="1"/>
  <c r="L10" i="1"/>
  <c r="L9" i="1"/>
  <c r="L8" i="1"/>
  <c r="L7" i="1"/>
  <c r="S4" i="1" l="1"/>
  <c r="S3" i="1"/>
  <c r="S2" i="1"/>
  <c r="S1" i="1"/>
  <c r="I5" i="1"/>
  <c r="J5" i="1" s="1"/>
  <c r="J10" i="1"/>
  <c r="J9" i="1"/>
  <c r="J8" i="1"/>
  <c r="J7" i="1"/>
  <c r="J6" i="1"/>
  <c r="D2" i="1"/>
  <c r="E2" i="1" s="1"/>
  <c r="C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J11" i="1" l="1"/>
  <c r="K9" i="1" s="1"/>
  <c r="K10" i="1" l="1"/>
  <c r="K8" i="1"/>
  <c r="K7" i="1"/>
  <c r="K6" i="1"/>
  <c r="K5" i="1"/>
  <c r="K11" i="1" l="1"/>
  <c r="L5" i="1" s="1"/>
  <c r="L6" i="1" l="1"/>
  <c r="S5" i="1"/>
</calcChain>
</file>

<file path=xl/sharedStrings.xml><?xml version="1.0" encoding="utf-8"?>
<sst xmlns="http://schemas.openxmlformats.org/spreadsheetml/2006/main" count="31" uniqueCount="26">
  <si>
    <t>Indivíduo</t>
  </si>
  <si>
    <t>Creatinina</t>
  </si>
  <si>
    <t>valor min</t>
  </si>
  <si>
    <t>valor max</t>
  </si>
  <si>
    <t>amplitude</t>
  </si>
  <si>
    <t>número de classes</t>
  </si>
  <si>
    <t>amplitude intervalar</t>
  </si>
  <si>
    <t>intervalo 1</t>
  </si>
  <si>
    <t>Ї</t>
  </si>
  <si>
    <t>intervalo 2</t>
  </si>
  <si>
    <t>intervalo 3</t>
  </si>
  <si>
    <t>intervalo 4</t>
  </si>
  <si>
    <t>intervalo 5</t>
  </si>
  <si>
    <t>intervalo 6</t>
  </si>
  <si>
    <t>média</t>
  </si>
  <si>
    <t>mediana</t>
  </si>
  <si>
    <t>variância</t>
  </si>
  <si>
    <t>desvio padrão</t>
  </si>
  <si>
    <t>cv</t>
  </si>
  <si>
    <t>f</t>
  </si>
  <si>
    <t>fr</t>
  </si>
  <si>
    <t>fr%</t>
  </si>
  <si>
    <t>fa</t>
  </si>
  <si>
    <t>far</t>
  </si>
  <si>
    <t>far%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</si>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</sst>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Trebuchet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0" xfId="0" applyFont="1"/>
    <xf numFmtId="9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264B4-0A8C-4E47-83F0-0D171658C7E9}">
  <dimension ref="A1:S37"/>
  <sheetViews>
    <sheetView tabSelected="1" zoomScale="95" zoomScaleNormal="120" workbookViewId="0">
      <selection activeCell="S9" sqref="S9"/>
    </sheetView>
  </sheetViews>
  <sheetFormatPr defaultRowHeight="14.4" x14ac:dyDescent="0.3"/>
  <cols>
    <col min="2" max="2" width="10" customWidth="1"/>
    <col min="3" max="3" width="10.5546875" customWidth="1"/>
    <col min="5" max="5" width="9.5546875" customWidth="1"/>
    <col min="6" max="6" width="17" customWidth="1"/>
    <col min="7" max="7" width="17.77734375" customWidth="1"/>
    <col min="8" max="8" width="3.5546875" customWidth="1"/>
    <col min="9" max="9" width="8.88671875" customWidth="1"/>
    <col min="10" max="10" width="5" customWidth="1"/>
    <col min="11" max="11" width="6.44140625" customWidth="1"/>
    <col min="12" max="12" width="7.33203125" style="4" customWidth="1"/>
    <col min="13" max="13" width="5.109375" customWidth="1"/>
    <col min="14" max="14" width="5.109375" style="5" customWidth="1"/>
    <col min="15" max="15" width="7.44140625" style="6" customWidth="1"/>
    <col min="16" max="16" width="6.33203125" customWidth="1"/>
    <col min="22" max="23" width="8.88671875" customWidth="1"/>
    <col min="24" max="24" width="10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R1" t="s">
        <v>14</v>
      </c>
      <c r="S1">
        <f>AVERAGE(B2:B37)</f>
        <v>1.5724999999999996</v>
      </c>
    </row>
    <row r="2" spans="1:19" x14ac:dyDescent="0.3">
      <c r="A2">
        <v>1</v>
      </c>
      <c r="B2">
        <v>1.08</v>
      </c>
      <c r="C2">
        <f>MIN(B2:B37)</f>
        <v>1.08</v>
      </c>
      <c r="D2">
        <f>MAX(B2:B37)</f>
        <v>2.1800000000000002</v>
      </c>
      <c r="E2" s="2">
        <f>D2-C2</f>
        <v>1.1000000000000001</v>
      </c>
      <c r="F2">
        <v>6</v>
      </c>
      <c r="G2">
        <v>0.19</v>
      </c>
      <c r="R2" t="s">
        <v>15</v>
      </c>
      <c r="S2">
        <f>MEDIAN(B2:B37)</f>
        <v>1.53</v>
      </c>
    </row>
    <row r="3" spans="1:19" x14ac:dyDescent="0.3">
      <c r="A3">
        <f>A2+1</f>
        <v>2</v>
      </c>
      <c r="B3">
        <v>1.22</v>
      </c>
      <c r="R3" t="s">
        <v>16</v>
      </c>
      <c r="S3">
        <f>_xlfn.VAR.S(B2:B37)</f>
        <v>4.7985000000001117E-2</v>
      </c>
    </row>
    <row r="4" spans="1:19" x14ac:dyDescent="0.3">
      <c r="A4">
        <f t="shared" ref="A4:A37" si="0">A3+1</f>
        <v>3</v>
      </c>
      <c r="B4">
        <v>1.26</v>
      </c>
      <c r="J4" t="s">
        <v>19</v>
      </c>
      <c r="K4" t="s">
        <v>20</v>
      </c>
      <c r="L4" s="4" t="s">
        <v>21</v>
      </c>
      <c r="M4" t="s">
        <v>22</v>
      </c>
      <c r="N4" s="5" t="s">
        <v>23</v>
      </c>
      <c r="O4" s="6" t="s">
        <v>24</v>
      </c>
      <c r="R4" t="s">
        <v>17</v>
      </c>
      <c r="S4">
        <f>_xlfn.STDEV.S(B2:B37)</f>
        <v>0.2190547876673804</v>
      </c>
    </row>
    <row r="5" spans="1:19" x14ac:dyDescent="0.3">
      <c r="A5">
        <f t="shared" si="0"/>
        <v>4</v>
      </c>
      <c r="B5">
        <v>1.37</v>
      </c>
      <c r="F5" t="s">
        <v>7</v>
      </c>
      <c r="G5">
        <v>1.08</v>
      </c>
      <c r="H5" s="3" t="s">
        <v>8</v>
      </c>
      <c r="I5">
        <f>G5+G2</f>
        <v>1.27</v>
      </c>
      <c r="J5">
        <f>COUNTIFS(B2:B37,"&gt;="&amp;G5,B2:B37,"&lt;"&amp;I5)</f>
        <v>3</v>
      </c>
      <c r="K5">
        <f>ROUNDUP(J5/J11,2)</f>
        <v>0.09</v>
      </c>
      <c r="L5" s="4">
        <f>ROUNDUP(K5/K11,2)</f>
        <v>0.09</v>
      </c>
      <c r="M5">
        <f>J5</f>
        <v>3</v>
      </c>
      <c r="N5" s="5">
        <f>M5/J11</f>
        <v>8.3333333333333329E-2</v>
      </c>
      <c r="O5" s="6">
        <f>N5/K11</f>
        <v>8.3333333333333329E-2</v>
      </c>
      <c r="R5" t="s">
        <v>18</v>
      </c>
      <c r="S5">
        <f ca="1">R1:S5+Q14/S1</f>
        <v>0</v>
      </c>
    </row>
    <row r="6" spans="1:19" x14ac:dyDescent="0.3">
      <c r="A6">
        <f t="shared" si="0"/>
        <v>5</v>
      </c>
      <c r="B6">
        <v>1.38</v>
      </c>
      <c r="F6" t="s">
        <v>9</v>
      </c>
      <c r="G6">
        <v>1.27</v>
      </c>
      <c r="H6" t="s">
        <v>8</v>
      </c>
      <c r="I6">
        <v>1.46</v>
      </c>
      <c r="J6">
        <f>COUNTIFS(B2:B37,"&gt;="&amp;G6,B2:B37,"&lt;"&amp;I6)</f>
        <v>7</v>
      </c>
      <c r="K6">
        <f>ROUND(J6/J11,2)</f>
        <v>0.19</v>
      </c>
      <c r="L6" s="4">
        <f>ROUND(K6/K11,2)</f>
        <v>0.19</v>
      </c>
      <c r="M6">
        <f>SUM(J5:J6)</f>
        <v>10</v>
      </c>
      <c r="N6" s="5">
        <f>M6/J11</f>
        <v>0.27777777777777779</v>
      </c>
      <c r="O6" s="6">
        <f>N6/K11</f>
        <v>0.27777777777777779</v>
      </c>
    </row>
    <row r="7" spans="1:19" x14ac:dyDescent="0.3">
      <c r="A7">
        <f t="shared" si="0"/>
        <v>6</v>
      </c>
      <c r="B7">
        <v>1.4</v>
      </c>
      <c r="F7" t="s">
        <v>10</v>
      </c>
      <c r="G7" s="1">
        <v>1.46</v>
      </c>
      <c r="H7" t="s">
        <v>8</v>
      </c>
      <c r="I7">
        <v>1.65</v>
      </c>
      <c r="J7">
        <f>COUNTIFS(B2:B37,"&gt;="&amp;G7,B2:B37,"&lt;"&amp;I7)</f>
        <v>13</v>
      </c>
      <c r="K7">
        <f>ROUND(J7/J11,2)</f>
        <v>0.36</v>
      </c>
      <c r="L7" s="4">
        <f>ROUND(K7/K11,2)</f>
        <v>0.36</v>
      </c>
      <c r="M7">
        <f>SUM(J5:J7)</f>
        <v>23</v>
      </c>
      <c r="N7" s="5">
        <f>M7/J11</f>
        <v>0.63888888888888884</v>
      </c>
      <c r="O7" s="6">
        <f>N7/K11</f>
        <v>0.63888888888888884</v>
      </c>
    </row>
    <row r="8" spans="1:19" x14ac:dyDescent="0.3">
      <c r="A8">
        <f t="shared" si="0"/>
        <v>7</v>
      </c>
      <c r="B8">
        <v>1.4</v>
      </c>
      <c r="F8" t="s">
        <v>11</v>
      </c>
      <c r="G8" s="1">
        <v>1.65</v>
      </c>
      <c r="H8" t="s">
        <v>8</v>
      </c>
      <c r="I8">
        <v>1.84</v>
      </c>
      <c r="J8">
        <f>COUNTIFS(B2:B37,"&gt;="&amp;G8,B2:B37,"&lt;"&amp;I8)</f>
        <v>9</v>
      </c>
      <c r="K8">
        <f>ROUND(J8/J11,2)</f>
        <v>0.25</v>
      </c>
      <c r="L8" s="4">
        <f>ROUND(K8/K11,2)</f>
        <v>0.25</v>
      </c>
      <c r="M8">
        <f>SUM(J5:J8)</f>
        <v>32</v>
      </c>
      <c r="N8" s="5">
        <f>M8/J11</f>
        <v>0.88888888888888884</v>
      </c>
      <c r="O8" s="6">
        <f>N8/K11</f>
        <v>0.88888888888888884</v>
      </c>
    </row>
    <row r="9" spans="1:19" x14ac:dyDescent="0.3">
      <c r="A9">
        <f t="shared" si="0"/>
        <v>8</v>
      </c>
      <c r="B9">
        <v>1.43</v>
      </c>
      <c r="F9" t="s">
        <v>12</v>
      </c>
      <c r="G9" s="1">
        <v>1.84</v>
      </c>
      <c r="H9" t="s">
        <v>8</v>
      </c>
      <c r="I9">
        <v>2.0299999999999998</v>
      </c>
      <c r="J9">
        <f>COUNTIFS(B2:B37,"&gt;="&amp;G9,B2:B37,"&lt;"&amp;I9)</f>
        <v>3</v>
      </c>
      <c r="K9">
        <f>ROUND(J9/J11,2)</f>
        <v>0.08</v>
      </c>
      <c r="L9" s="4">
        <f>ROUND(K9/K11,2)</f>
        <v>0.08</v>
      </c>
      <c r="M9">
        <f>SUM(J5:J9)</f>
        <v>35</v>
      </c>
      <c r="N9" s="5">
        <f>M9/J11</f>
        <v>0.97222222222222221</v>
      </c>
      <c r="O9" s="6">
        <f>N9/K11</f>
        <v>0.97222222222222221</v>
      </c>
    </row>
    <row r="10" spans="1:19" x14ac:dyDescent="0.3">
      <c r="A10">
        <f t="shared" si="0"/>
        <v>9</v>
      </c>
      <c r="B10">
        <v>1.43</v>
      </c>
      <c r="F10" t="s">
        <v>13</v>
      </c>
      <c r="G10" s="1">
        <v>2.0299999999999998</v>
      </c>
      <c r="H10" t="s">
        <v>8</v>
      </c>
      <c r="I10">
        <v>2.2200000000000002</v>
      </c>
      <c r="J10">
        <f>COUNTIFS(B2:B37,"&gt;="&amp;G10,B2:B37,"&lt;"&amp;I10)</f>
        <v>1</v>
      </c>
      <c r="K10">
        <f>ROUND(J10/J11,2)</f>
        <v>0.03</v>
      </c>
      <c r="L10" s="4">
        <f>ROUND(K10/K11,2)</f>
        <v>0.03</v>
      </c>
      <c r="M10">
        <f>SUM(J5:J10)</f>
        <v>36</v>
      </c>
      <c r="N10" s="5">
        <f>M10/J11</f>
        <v>1</v>
      </c>
      <c r="O10" s="6">
        <f>N10/K11</f>
        <v>1</v>
      </c>
    </row>
    <row r="11" spans="1:19" x14ac:dyDescent="0.3">
      <c r="A11">
        <f t="shared" si="0"/>
        <v>10</v>
      </c>
      <c r="B11">
        <v>1.44</v>
      </c>
      <c r="F11" t="s">
        <v>25</v>
      </c>
      <c r="J11">
        <f>J5+J6+J7+J8+J9+J10</f>
        <v>36</v>
      </c>
      <c r="K11">
        <f>SUM(K5:K10)</f>
        <v>1</v>
      </c>
      <c r="L11" s="4">
        <f>SUM(L5:L10)</f>
        <v>1</v>
      </c>
      <c r="M11">
        <v>36</v>
      </c>
      <c r="N11" s="5">
        <v>1</v>
      </c>
    </row>
    <row r="12" spans="1:19" x14ac:dyDescent="0.3">
      <c r="A12">
        <f t="shared" si="0"/>
        <v>11</v>
      </c>
      <c r="B12">
        <v>1.46</v>
      </c>
    </row>
    <row r="13" spans="1:19" x14ac:dyDescent="0.3">
      <c r="A13">
        <f t="shared" si="0"/>
        <v>12</v>
      </c>
      <c r="B13">
        <v>1.46</v>
      </c>
    </row>
    <row r="14" spans="1:19" x14ac:dyDescent="0.3">
      <c r="A14">
        <f t="shared" si="0"/>
        <v>13</v>
      </c>
      <c r="B14">
        <v>1.47</v>
      </c>
    </row>
    <row r="15" spans="1:19" x14ac:dyDescent="0.3">
      <c r="A15">
        <f t="shared" si="0"/>
        <v>14</v>
      </c>
      <c r="B15">
        <v>1.49</v>
      </c>
    </row>
    <row r="16" spans="1:19" x14ac:dyDescent="0.3">
      <c r="A16">
        <f t="shared" si="0"/>
        <v>15</v>
      </c>
      <c r="B16">
        <v>1.49</v>
      </c>
    </row>
    <row r="17" spans="1:2" x14ac:dyDescent="0.3">
      <c r="A17">
        <f t="shared" si="0"/>
        <v>16</v>
      </c>
      <c r="B17">
        <v>1.51</v>
      </c>
    </row>
    <row r="18" spans="1:2" x14ac:dyDescent="0.3">
      <c r="A18">
        <f t="shared" si="0"/>
        <v>17</v>
      </c>
      <c r="B18">
        <v>1.52</v>
      </c>
    </row>
    <row r="19" spans="1:2" x14ac:dyDescent="0.3">
      <c r="A19">
        <f t="shared" si="0"/>
        <v>18</v>
      </c>
      <c r="B19">
        <v>1.52</v>
      </c>
    </row>
    <row r="20" spans="1:2" x14ac:dyDescent="0.3">
      <c r="A20">
        <f t="shared" si="0"/>
        <v>19</v>
      </c>
      <c r="B20">
        <v>1.54</v>
      </c>
    </row>
    <row r="21" spans="1:2" x14ac:dyDescent="0.3">
      <c r="A21">
        <f t="shared" si="0"/>
        <v>20</v>
      </c>
      <c r="B21">
        <v>1.58</v>
      </c>
    </row>
    <row r="22" spans="1:2" x14ac:dyDescent="0.3">
      <c r="A22">
        <f t="shared" si="0"/>
        <v>21</v>
      </c>
      <c r="B22">
        <v>1.59</v>
      </c>
    </row>
    <row r="23" spans="1:2" x14ac:dyDescent="0.3">
      <c r="A23">
        <f t="shared" si="0"/>
        <v>22</v>
      </c>
      <c r="B23">
        <v>1.6</v>
      </c>
    </row>
    <row r="24" spans="1:2" x14ac:dyDescent="0.3">
      <c r="A24">
        <f t="shared" si="0"/>
        <v>23</v>
      </c>
      <c r="B24">
        <v>1.61</v>
      </c>
    </row>
    <row r="25" spans="1:2" x14ac:dyDescent="0.3">
      <c r="A25">
        <f t="shared" si="0"/>
        <v>24</v>
      </c>
      <c r="B25">
        <v>1.66</v>
      </c>
    </row>
    <row r="26" spans="1:2" x14ac:dyDescent="0.3">
      <c r="A26">
        <f t="shared" si="0"/>
        <v>25</v>
      </c>
      <c r="B26">
        <v>1.66</v>
      </c>
    </row>
    <row r="27" spans="1:2" x14ac:dyDescent="0.3">
      <c r="A27">
        <f t="shared" si="0"/>
        <v>26</v>
      </c>
      <c r="B27">
        <v>1.66</v>
      </c>
    </row>
    <row r="28" spans="1:2" x14ac:dyDescent="0.3">
      <c r="A28">
        <f t="shared" si="0"/>
        <v>27</v>
      </c>
      <c r="B28">
        <v>1.67</v>
      </c>
    </row>
    <row r="29" spans="1:2" x14ac:dyDescent="0.3">
      <c r="A29">
        <f t="shared" si="0"/>
        <v>28</v>
      </c>
      <c r="B29">
        <v>1.69</v>
      </c>
    </row>
    <row r="30" spans="1:2" x14ac:dyDescent="0.3">
      <c r="A30">
        <f t="shared" si="0"/>
        <v>29</v>
      </c>
      <c r="B30">
        <v>1.73</v>
      </c>
    </row>
    <row r="31" spans="1:2" x14ac:dyDescent="0.3">
      <c r="A31">
        <f t="shared" si="0"/>
        <v>30</v>
      </c>
      <c r="B31">
        <v>1.75</v>
      </c>
    </row>
    <row r="32" spans="1:2" x14ac:dyDescent="0.3">
      <c r="A32">
        <f t="shared" si="0"/>
        <v>31</v>
      </c>
      <c r="B32">
        <v>1.76</v>
      </c>
    </row>
    <row r="33" spans="1:2" x14ac:dyDescent="0.3">
      <c r="A33">
        <f t="shared" si="0"/>
        <v>32</v>
      </c>
      <c r="B33">
        <v>1.83</v>
      </c>
    </row>
    <row r="34" spans="1:2" x14ac:dyDescent="0.3">
      <c r="A34">
        <f t="shared" si="0"/>
        <v>33</v>
      </c>
      <c r="B34">
        <v>1.86</v>
      </c>
    </row>
    <row r="35" spans="1:2" x14ac:dyDescent="0.3">
      <c r="A35">
        <f t="shared" si="0"/>
        <v>34</v>
      </c>
      <c r="B35">
        <v>1.89</v>
      </c>
    </row>
    <row r="36" spans="1:2" x14ac:dyDescent="0.3">
      <c r="A36">
        <f t="shared" si="0"/>
        <v>35</v>
      </c>
      <c r="B36">
        <v>2.02</v>
      </c>
    </row>
    <row r="37" spans="1:2" x14ac:dyDescent="0.3">
      <c r="A37">
        <f t="shared" si="0"/>
        <v>36</v>
      </c>
      <c r="B37">
        <v>2.1800000000000002</v>
      </c>
    </row>
  </sheetData>
  <sortState xmlns:xlrd2="http://schemas.microsoft.com/office/spreadsheetml/2017/richdata2" ref="B2:B37">
    <sortCondition ref="B2:B37"/>
  </sortState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Eduardo Monteiro de Sá Luiz</dc:creator>
  <cp:lastModifiedBy>Pedro Miguel</cp:lastModifiedBy>
  <dcterms:created xsi:type="dcterms:W3CDTF">2024-08-13T11:41:04Z</dcterms:created>
  <dcterms:modified xsi:type="dcterms:W3CDTF">2024-09-25T11:08:09Z</dcterms:modified>
</cp:coreProperties>
</file>